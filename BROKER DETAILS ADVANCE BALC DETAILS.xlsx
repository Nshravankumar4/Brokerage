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TR\P1\"/>
    </mc:Choice>
  </mc:AlternateContent>
  <xr:revisionPtr revIDLastSave="0" documentId="13_ncr:1_{9B765F13-A15E-43E9-ACCE-85DDD9465B16}" xr6:coauthVersionLast="47" xr6:coauthVersionMax="47" xr10:uidLastSave="{00000000-0000-0000-0000-000000000000}"/>
  <bookViews>
    <workbookView xWindow="-108" yWindow="-108" windowWidth="23256" windowHeight="12456" xr2:uid="{1478C38C-4126-446B-81B6-00AF63270340}"/>
  </bookViews>
  <sheets>
    <sheet name="final" sheetId="3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5" i="3" l="1"/>
  <c r="W3" i="3"/>
  <c r="W2" i="3"/>
  <c r="W20" i="3" s="1"/>
  <c r="W13" i="3"/>
  <c r="W14" i="3"/>
  <c r="W15" i="3"/>
  <c r="W16" i="3"/>
  <c r="W19" i="3"/>
  <c r="W18" i="3"/>
  <c r="W9" i="3"/>
  <c r="T20" i="3"/>
  <c r="T19" i="3"/>
  <c r="W17" i="3"/>
  <c r="W12" i="3"/>
  <c r="Y12" i="3" s="1"/>
  <c r="W11" i="3"/>
  <c r="W10" i="3"/>
  <c r="W8" i="3"/>
  <c r="W7" i="3"/>
  <c r="W6" i="3"/>
  <c r="W4" i="3"/>
</calcChain>
</file>

<file path=xl/sharedStrings.xml><?xml version="1.0" encoding="utf-8"?>
<sst xmlns="http://schemas.openxmlformats.org/spreadsheetml/2006/main" count="183" uniqueCount="91">
  <si>
    <t>SL NO</t>
  </si>
  <si>
    <t xml:space="preserve">FROM </t>
  </si>
  <si>
    <t>TO</t>
  </si>
  <si>
    <t>FRIGHT</t>
  </si>
  <si>
    <t>DATE</t>
  </si>
  <si>
    <t xml:space="preserve">DATE </t>
  </si>
  <si>
    <t>ADVANCE</t>
  </si>
  <si>
    <t>LR NO</t>
  </si>
  <si>
    <t>NOTE</t>
  </si>
  <si>
    <t xml:space="preserve">LUCKNOW </t>
  </si>
  <si>
    <t>MEDCHAL</t>
  </si>
  <si>
    <t>ANTP SAINATH</t>
  </si>
  <si>
    <t>RAIPUR</t>
  </si>
  <si>
    <t>SARITHA TRSP</t>
  </si>
  <si>
    <t>TRUCK NO</t>
  </si>
  <si>
    <t>AP39UD3564</t>
  </si>
  <si>
    <t>TG15T6666</t>
  </si>
  <si>
    <t>COOCHBEHAR</t>
  </si>
  <si>
    <t xml:space="preserve"> TRSP NAME</t>
  </si>
  <si>
    <t>191/192</t>
  </si>
  <si>
    <t>RJ14GN7169</t>
  </si>
  <si>
    <t>RAIGUNJ&amp;DALKOLA</t>
  </si>
  <si>
    <t>MISHRA PIWARAN</t>
  </si>
  <si>
    <t>PAYMENT MADE</t>
  </si>
  <si>
    <t>193/194</t>
  </si>
  <si>
    <t>UP38T6479</t>
  </si>
  <si>
    <t>SABDHAN/KALIACHAK</t>
  </si>
  <si>
    <t>ANDHRA GORKARPUR</t>
  </si>
  <si>
    <t>TS05UF1719</t>
  </si>
  <si>
    <t>MURISIRABAD</t>
  </si>
  <si>
    <t>ABHISHEK TRSP</t>
  </si>
  <si>
    <t xml:space="preserve">41BAGS WET CONDITION </t>
  </si>
  <si>
    <t>ACCOUNT NO</t>
  </si>
  <si>
    <t>IFSC CODE</t>
  </si>
  <si>
    <t xml:space="preserve">SBI BANK </t>
  </si>
  <si>
    <t xml:space="preserve">KKBK BANK </t>
  </si>
  <si>
    <t xml:space="preserve">ICICI BANK </t>
  </si>
  <si>
    <t>POD RECD</t>
  </si>
  <si>
    <t>SBIN0010659</t>
  </si>
  <si>
    <t>KKBK0008406</t>
  </si>
  <si>
    <t>ICIC0002384</t>
  </si>
  <si>
    <t>ICICI BANK</t>
  </si>
  <si>
    <t>PUNB0219910</t>
  </si>
  <si>
    <t>ICIC0002798</t>
  </si>
  <si>
    <t>210/211</t>
  </si>
  <si>
    <t>TS15UE1122</t>
  </si>
  <si>
    <t>ARRARIYA/PURNIA</t>
  </si>
  <si>
    <t>PNB BANK</t>
  </si>
  <si>
    <t>CG08AZ4714</t>
  </si>
  <si>
    <t>PANKANJUR</t>
  </si>
  <si>
    <t>CG RANCHI R/WAYS</t>
  </si>
  <si>
    <t>MADHAPURA</t>
  </si>
  <si>
    <t>MUZUFFARPUR</t>
  </si>
  <si>
    <t>BEGUSARAI</t>
  </si>
  <si>
    <t>JH02BM3030</t>
  </si>
  <si>
    <t>PURNIA</t>
  </si>
  <si>
    <t>BR44GB0148</t>
  </si>
  <si>
    <t>MOTHIHARI</t>
  </si>
  <si>
    <t>HR56C4156</t>
  </si>
  <si>
    <t>ARRARIYA</t>
  </si>
  <si>
    <t>ICICIBANK</t>
  </si>
  <si>
    <t>197/198</t>
  </si>
  <si>
    <t>UP60BT2385</t>
  </si>
  <si>
    <t>ARRARIYA/KALIGUNJ</t>
  </si>
  <si>
    <t>217/218</t>
  </si>
  <si>
    <t>AP02TH2345</t>
  </si>
  <si>
    <t>BHAGALPUR/PURNIA</t>
  </si>
  <si>
    <t>UP61BT7437</t>
  </si>
  <si>
    <t>FINAL BALC</t>
  </si>
  <si>
    <t>279805000462</t>
  </si>
  <si>
    <t>0312035592</t>
  </si>
  <si>
    <t>52641131001394</t>
  </si>
  <si>
    <t>29122900001083</t>
  </si>
  <si>
    <t>DCBL0000291</t>
  </si>
  <si>
    <t>DCB BANK</t>
  </si>
  <si>
    <t>DATE 2</t>
  </si>
  <si>
    <t>ADVANCE2</t>
  </si>
  <si>
    <t xml:space="preserve">DATE3 </t>
  </si>
  <si>
    <t>ADVANCE3</t>
  </si>
  <si>
    <t>P/M</t>
  </si>
  <si>
    <t>T/M</t>
  </si>
  <si>
    <t>BALC</t>
  </si>
  <si>
    <t>Topay</t>
  </si>
  <si>
    <t xml:space="preserve">Topay(COD) </t>
  </si>
  <si>
    <t>F/TO-PAY</t>
  </si>
  <si>
    <t>A/TO-PAY</t>
  </si>
  <si>
    <t>if date If Empty Show the RedColor</t>
  </si>
  <si>
    <t>If Topay Type means?</t>
  </si>
  <si>
    <t>BALC formual</t>
  </si>
  <si>
    <t>"=IF(M9="F/TO-PAY",0,K9-(O9+Q9+S9+U9+T9))"</t>
  </si>
  <si>
    <t>"=IF(M20="A/TOPAY",K20-N20-O20-T20,NA)"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</si>
</sst>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DB463-B380-49C9-8926-12FDCA8CC0D6}">
  <dimension ref="A1:AF25"/>
  <sheetViews>
    <sheetView tabSelected="1" zoomScale="85" zoomScaleNormal="85" workbookViewId="0">
      <pane xSplit="1" topLeftCell="B1" activePane="topRight" state="frozen"/>
      <selection pane="topRight" activeCell="H29" sqref="H29"/>
    </sheetView>
  </sheetViews>
  <sheetFormatPr defaultRowHeight="14.4" x14ac:dyDescent="0.3"/>
  <cols>
    <col min="1" max="1" width="8.5546875" style="8" bestFit="1" customWidth="1"/>
    <col min="2" max="2" width="19.88671875" style="8" bestFit="1" customWidth="1"/>
    <col min="3" max="3" width="10.5546875" style="8" bestFit="1" customWidth="1"/>
    <col min="4" max="4" width="8.77734375" style="8" bestFit="1" customWidth="1"/>
    <col min="5" max="5" width="14.109375" style="8" bestFit="1" customWidth="1"/>
    <col min="6" max="6" width="10.33203125" style="8" bestFit="1" customWidth="1"/>
    <col min="7" max="7" width="20" style="8" bestFit="1" customWidth="1"/>
    <col min="8" max="8" width="18.44140625" style="8" bestFit="1" customWidth="1"/>
    <col min="9" max="9" width="14.88671875" style="8" bestFit="1" customWidth="1"/>
    <col min="10" max="10" width="20.77734375" style="8" bestFit="1" customWidth="1"/>
    <col min="11" max="11" width="10.33203125" style="8" bestFit="1" customWidth="1"/>
    <col min="12" max="12" width="10.5546875" style="8" bestFit="1" customWidth="1"/>
    <col min="13" max="13" width="18.88671875" style="8" bestFit="1" customWidth="1"/>
    <col min="14" max="14" width="5.6640625" style="8" bestFit="1" customWidth="1"/>
    <col min="15" max="15" width="13.21875" style="8" bestFit="1" customWidth="1"/>
    <col min="16" max="16" width="41.6640625" style="8" bestFit="1" customWidth="1"/>
    <col min="17" max="17" width="14.88671875" style="8" bestFit="1" customWidth="1"/>
    <col min="18" max="18" width="9.6640625" style="8" bestFit="1" customWidth="1"/>
    <col min="19" max="19" width="14.88671875" style="8" bestFit="1" customWidth="1"/>
    <col min="20" max="20" width="16.5546875" style="8" bestFit="1" customWidth="1"/>
    <col min="21" max="21" width="5.88671875" style="8" bestFit="1" customWidth="1"/>
    <col min="22" max="22" width="7.5546875" style="8" bestFit="1" customWidth="1"/>
    <col min="23" max="23" width="7.77734375" style="8" bestFit="1" customWidth="1"/>
    <col min="24" max="24" width="5.88671875" style="8" bestFit="1" customWidth="1"/>
    <col min="25" max="25" width="15.6640625" style="8" bestFit="1" customWidth="1"/>
    <col min="26" max="26" width="30.21875" style="8" bestFit="1" customWidth="1"/>
    <col min="27" max="27" width="23" style="8" bestFit="1" customWidth="1"/>
    <col min="28" max="31" width="8.88671875" style="8"/>
    <col min="32" max="32" width="2" style="8" bestFit="1" customWidth="1"/>
    <col min="33" max="16384" width="8.88671875" style="8"/>
  </cols>
  <sheetData>
    <row r="1" spans="1:32" ht="21" x14ac:dyDescent="0.3">
      <c r="A1" s="5" t="s">
        <v>0</v>
      </c>
      <c r="B1" s="5" t="s">
        <v>18</v>
      </c>
      <c r="C1" s="5" t="s">
        <v>4</v>
      </c>
      <c r="D1" s="5" t="s">
        <v>7</v>
      </c>
      <c r="E1" s="5" t="s">
        <v>14</v>
      </c>
      <c r="F1" s="5" t="s">
        <v>1</v>
      </c>
      <c r="G1" s="5" t="s">
        <v>2</v>
      </c>
      <c r="H1" s="5" t="s">
        <v>32</v>
      </c>
      <c r="I1" s="5" t="s">
        <v>33</v>
      </c>
      <c r="J1" s="5" t="s">
        <v>23</v>
      </c>
      <c r="K1" s="5" t="s">
        <v>3</v>
      </c>
      <c r="L1" s="5" t="s">
        <v>5</v>
      </c>
      <c r="M1" s="6" t="s">
        <v>82</v>
      </c>
      <c r="N1" s="5" t="s">
        <v>80</v>
      </c>
      <c r="O1" s="7" t="s">
        <v>6</v>
      </c>
      <c r="P1" s="5" t="s">
        <v>75</v>
      </c>
      <c r="Q1" s="7" t="s">
        <v>76</v>
      </c>
      <c r="R1" s="5" t="s">
        <v>77</v>
      </c>
      <c r="S1" s="7" t="s">
        <v>78</v>
      </c>
      <c r="T1" s="6" t="s">
        <v>83</v>
      </c>
      <c r="U1" s="5" t="s">
        <v>79</v>
      </c>
      <c r="V1" s="5" t="s">
        <v>4</v>
      </c>
      <c r="W1" s="5" t="s">
        <v>81</v>
      </c>
      <c r="X1" s="5" t="s">
        <v>79</v>
      </c>
      <c r="Y1" s="5" t="s">
        <v>68</v>
      </c>
      <c r="Z1" s="5" t="s">
        <v>37</v>
      </c>
      <c r="AA1" s="5" t="s">
        <v>8</v>
      </c>
    </row>
    <row r="2" spans="1:32" x14ac:dyDescent="0.3">
      <c r="A2" s="1">
        <v>1</v>
      </c>
      <c r="B2" s="1" t="s">
        <v>11</v>
      </c>
      <c r="C2" s="2">
        <v>46254</v>
      </c>
      <c r="D2" s="1">
        <v>207</v>
      </c>
      <c r="E2" s="1" t="s">
        <v>15</v>
      </c>
      <c r="F2" s="1" t="s">
        <v>9</v>
      </c>
      <c r="G2" s="1" t="s">
        <v>10</v>
      </c>
      <c r="H2" s="3">
        <v>38216860303</v>
      </c>
      <c r="I2" s="1" t="s">
        <v>38</v>
      </c>
      <c r="J2" s="1" t="s">
        <v>34</v>
      </c>
      <c r="K2" s="1">
        <v>65000</v>
      </c>
      <c r="L2" s="2">
        <v>46267</v>
      </c>
      <c r="M2" s="1"/>
      <c r="N2" s="1"/>
      <c r="O2" s="1">
        <v>65000</v>
      </c>
      <c r="P2" s="2"/>
      <c r="Q2" s="1"/>
      <c r="R2" s="2"/>
      <c r="S2" s="1"/>
      <c r="T2" s="1"/>
      <c r="U2" s="1"/>
      <c r="V2" s="1"/>
      <c r="W2" s="1">
        <f>IF(M2="F/TO-PAY",0,K2-(O2+Q2+S2+U2+T2))</f>
        <v>0</v>
      </c>
      <c r="X2" s="1"/>
      <c r="Y2" s="1"/>
      <c r="Z2" s="2">
        <v>46263</v>
      </c>
      <c r="AA2" s="1"/>
    </row>
    <row r="3" spans="1:32" x14ac:dyDescent="0.3">
      <c r="A3" s="1">
        <v>2</v>
      </c>
      <c r="B3" s="1" t="s">
        <v>13</v>
      </c>
      <c r="C3" s="2">
        <v>46268</v>
      </c>
      <c r="D3" s="1">
        <v>208</v>
      </c>
      <c r="E3" s="1" t="s">
        <v>16</v>
      </c>
      <c r="F3" s="1" t="s">
        <v>12</v>
      </c>
      <c r="G3" s="1" t="s">
        <v>10</v>
      </c>
      <c r="H3" s="3" t="s">
        <v>70</v>
      </c>
      <c r="I3" s="1" t="s">
        <v>39</v>
      </c>
      <c r="J3" s="1" t="s">
        <v>35</v>
      </c>
      <c r="K3" s="1">
        <v>110250</v>
      </c>
      <c r="L3" s="2">
        <v>46310</v>
      </c>
      <c r="M3" s="1"/>
      <c r="N3" s="1"/>
      <c r="O3" s="1">
        <v>110250</v>
      </c>
      <c r="P3" s="2"/>
      <c r="Q3" s="1"/>
      <c r="R3" s="2"/>
      <c r="S3" s="1"/>
      <c r="T3" s="1"/>
      <c r="U3" s="1"/>
      <c r="V3" s="1"/>
      <c r="W3" s="1">
        <f>IF(M3="F/TO-PAY",0,K3-(O3+Q3+S3+U3+T3))</f>
        <v>0</v>
      </c>
      <c r="X3" s="1"/>
      <c r="Y3" s="1"/>
      <c r="Z3" s="2">
        <v>46272</v>
      </c>
      <c r="AA3" s="1"/>
    </row>
    <row r="4" spans="1:32" x14ac:dyDescent="0.3">
      <c r="A4" s="1">
        <v>3</v>
      </c>
      <c r="B4" s="1" t="s">
        <v>13</v>
      </c>
      <c r="C4" s="2">
        <v>46275</v>
      </c>
      <c r="D4" s="1">
        <v>190</v>
      </c>
      <c r="E4" s="1" t="s">
        <v>16</v>
      </c>
      <c r="F4" s="1" t="s">
        <v>10</v>
      </c>
      <c r="G4" s="1" t="s">
        <v>17</v>
      </c>
      <c r="H4" s="3" t="s">
        <v>70</v>
      </c>
      <c r="I4" s="1" t="s">
        <v>39</v>
      </c>
      <c r="J4" s="1" t="s">
        <v>35</v>
      </c>
      <c r="K4" s="1">
        <v>231000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>
        <f t="shared" ref="W4:W17" si="0">IF(M4="F/TO-PAY",0,K4-(O4+Q4+S4+U4+T4))</f>
        <v>231000</v>
      </c>
      <c r="X4" s="1"/>
      <c r="Y4" s="1"/>
      <c r="Z4" s="2">
        <v>46290</v>
      </c>
      <c r="AA4" s="1"/>
    </row>
    <row r="5" spans="1:32" x14ac:dyDescent="0.3">
      <c r="A5" s="1">
        <v>4</v>
      </c>
      <c r="B5" s="1" t="s">
        <v>22</v>
      </c>
      <c r="C5" s="2">
        <v>46277</v>
      </c>
      <c r="D5" s="1" t="s">
        <v>19</v>
      </c>
      <c r="E5" s="1" t="s">
        <v>20</v>
      </c>
      <c r="F5" s="1" t="s">
        <v>10</v>
      </c>
      <c r="G5" s="1" t="s">
        <v>21</v>
      </c>
      <c r="H5" s="3" t="s">
        <v>69</v>
      </c>
      <c r="I5" s="1" t="s">
        <v>43</v>
      </c>
      <c r="J5" s="1" t="s">
        <v>36</v>
      </c>
      <c r="K5" s="1">
        <v>135000</v>
      </c>
      <c r="L5" s="2">
        <v>46281</v>
      </c>
      <c r="M5" s="1"/>
      <c r="N5" s="1">
        <v>200</v>
      </c>
      <c r="O5" s="1">
        <v>124800</v>
      </c>
      <c r="P5" s="2"/>
      <c r="Q5" s="1"/>
      <c r="R5" s="2"/>
      <c r="S5" s="1"/>
      <c r="T5" s="1"/>
      <c r="U5" s="1">
        <v>200</v>
      </c>
      <c r="V5" s="1"/>
      <c r="W5" s="1">
        <f>IF(M5="F/TO-PAY",0,K5-(O5+Q5+S5+U5+T5))</f>
        <v>10000</v>
      </c>
      <c r="X5" s="1"/>
      <c r="Y5" s="1"/>
      <c r="Z5" s="2">
        <v>46300</v>
      </c>
      <c r="AA5" s="1"/>
    </row>
    <row r="6" spans="1:32" x14ac:dyDescent="0.3">
      <c r="A6" s="1">
        <v>5</v>
      </c>
      <c r="B6" s="1" t="s">
        <v>27</v>
      </c>
      <c r="C6" s="2">
        <v>46281</v>
      </c>
      <c r="D6" s="1" t="s">
        <v>24</v>
      </c>
      <c r="E6" s="1" t="s">
        <v>25</v>
      </c>
      <c r="F6" s="1" t="s">
        <v>10</v>
      </c>
      <c r="G6" s="1" t="s">
        <v>26</v>
      </c>
      <c r="H6" s="3" t="s">
        <v>71</v>
      </c>
      <c r="I6" s="1" t="s">
        <v>42</v>
      </c>
      <c r="J6" s="1" t="s">
        <v>47</v>
      </c>
      <c r="K6" s="1">
        <v>130000</v>
      </c>
      <c r="L6" s="2">
        <v>46283</v>
      </c>
      <c r="M6" s="1"/>
      <c r="N6" s="1"/>
      <c r="O6" s="1">
        <v>100000</v>
      </c>
      <c r="P6" s="2">
        <v>46286</v>
      </c>
      <c r="Q6" s="1">
        <v>20000</v>
      </c>
      <c r="R6" s="2"/>
      <c r="S6" s="1"/>
      <c r="T6" s="1"/>
      <c r="U6" s="1"/>
      <c r="V6" s="1"/>
      <c r="W6" s="1">
        <f t="shared" si="0"/>
        <v>10000</v>
      </c>
      <c r="X6" s="1"/>
      <c r="Y6" s="1"/>
      <c r="Z6" s="2">
        <v>46305</v>
      </c>
      <c r="AA6" s="1"/>
    </row>
    <row r="7" spans="1:32" x14ac:dyDescent="0.3">
      <c r="A7" s="1">
        <v>6</v>
      </c>
      <c r="B7" s="1" t="s">
        <v>30</v>
      </c>
      <c r="C7" s="2">
        <v>46284</v>
      </c>
      <c r="D7" s="1">
        <v>209</v>
      </c>
      <c r="E7" s="1" t="s">
        <v>28</v>
      </c>
      <c r="F7" s="1" t="s">
        <v>10</v>
      </c>
      <c r="G7" s="1" t="s">
        <v>29</v>
      </c>
      <c r="H7" s="3">
        <v>23405500018</v>
      </c>
      <c r="I7" s="1" t="s">
        <v>40</v>
      </c>
      <c r="J7" s="1" t="s">
        <v>41</v>
      </c>
      <c r="K7" s="1">
        <v>134750</v>
      </c>
      <c r="L7" s="2">
        <v>46286</v>
      </c>
      <c r="M7" s="1"/>
      <c r="N7" s="1"/>
      <c r="O7" s="1">
        <v>100000</v>
      </c>
      <c r="P7" s="2"/>
      <c r="Q7" s="1"/>
      <c r="R7" s="2"/>
      <c r="S7" s="1"/>
      <c r="T7" s="1"/>
      <c r="U7" s="1"/>
      <c r="V7" s="1"/>
      <c r="W7" s="1">
        <f t="shared" si="0"/>
        <v>34750</v>
      </c>
      <c r="X7" s="1"/>
      <c r="Y7" s="1"/>
      <c r="Z7" s="1" t="s">
        <v>86</v>
      </c>
      <c r="AA7" s="4" t="s">
        <v>31</v>
      </c>
      <c r="AF7" s="8">
        <v>7</v>
      </c>
    </row>
    <row r="8" spans="1:32" x14ac:dyDescent="0.3">
      <c r="A8" s="1">
        <v>7</v>
      </c>
      <c r="B8" s="1" t="s">
        <v>13</v>
      </c>
      <c r="C8" s="2">
        <v>46289</v>
      </c>
      <c r="D8" s="1" t="s">
        <v>44</v>
      </c>
      <c r="E8" s="1" t="s">
        <v>45</v>
      </c>
      <c r="F8" s="1" t="s">
        <v>10</v>
      </c>
      <c r="G8" s="1" t="s">
        <v>46</v>
      </c>
      <c r="H8" s="3" t="s">
        <v>70</v>
      </c>
      <c r="I8" s="1" t="s">
        <v>39</v>
      </c>
      <c r="J8" s="1" t="s">
        <v>35</v>
      </c>
      <c r="K8" s="1">
        <v>155000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>
        <f t="shared" si="0"/>
        <v>155000</v>
      </c>
      <c r="X8" s="1"/>
      <c r="Y8" s="1"/>
      <c r="Z8" s="2">
        <v>46300</v>
      </c>
      <c r="AA8" s="1"/>
    </row>
    <row r="9" spans="1:32" x14ac:dyDescent="0.3">
      <c r="A9" s="1">
        <v>8</v>
      </c>
      <c r="B9" s="1" t="s">
        <v>50</v>
      </c>
      <c r="C9" s="2">
        <v>46294</v>
      </c>
      <c r="D9" s="1">
        <v>195</v>
      </c>
      <c r="E9" s="1" t="s">
        <v>48</v>
      </c>
      <c r="F9" s="1" t="s">
        <v>10</v>
      </c>
      <c r="G9" s="1" t="s">
        <v>49</v>
      </c>
      <c r="H9" s="3" t="s">
        <v>72</v>
      </c>
      <c r="I9" s="1" t="s">
        <v>73</v>
      </c>
      <c r="J9" s="1" t="s">
        <v>74</v>
      </c>
      <c r="K9" s="1">
        <v>42000</v>
      </c>
      <c r="L9" s="2">
        <v>46296</v>
      </c>
      <c r="M9" s="1" t="s">
        <v>84</v>
      </c>
      <c r="N9" s="1"/>
      <c r="O9" s="1">
        <v>0</v>
      </c>
      <c r="P9" s="1"/>
      <c r="Q9" s="1"/>
      <c r="R9" s="1"/>
      <c r="S9" s="1"/>
      <c r="T9" s="1"/>
      <c r="U9" s="1"/>
      <c r="V9" s="1"/>
      <c r="W9" s="1">
        <f>IF(M9="F/TO-PAY",0,K9-(O9+Q9+S9+U9+T9))</f>
        <v>0</v>
      </c>
      <c r="X9" s="1"/>
      <c r="Y9" s="1"/>
      <c r="Z9" s="1" t="s">
        <v>86</v>
      </c>
      <c r="AA9" s="1"/>
    </row>
    <row r="10" spans="1:32" x14ac:dyDescent="0.3">
      <c r="A10" s="1">
        <v>9</v>
      </c>
      <c r="B10" s="1" t="s">
        <v>13</v>
      </c>
      <c r="C10" s="2">
        <v>46296</v>
      </c>
      <c r="D10" s="1">
        <v>196</v>
      </c>
      <c r="E10" s="1" t="s">
        <v>16</v>
      </c>
      <c r="F10" s="1" t="s">
        <v>10</v>
      </c>
      <c r="G10" s="1" t="s">
        <v>51</v>
      </c>
      <c r="H10" s="3" t="s">
        <v>70</v>
      </c>
      <c r="I10" s="1" t="s">
        <v>39</v>
      </c>
      <c r="J10" s="1" t="s">
        <v>35</v>
      </c>
      <c r="K10" s="1">
        <v>175000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>
        <f t="shared" si="0"/>
        <v>175000</v>
      </c>
      <c r="X10" s="1"/>
      <c r="Y10" s="1"/>
      <c r="Z10" s="2">
        <v>46314</v>
      </c>
      <c r="AA10" s="1"/>
    </row>
    <row r="11" spans="1:32" x14ac:dyDescent="0.3">
      <c r="A11" s="1">
        <v>10</v>
      </c>
      <c r="B11" s="1" t="s">
        <v>13</v>
      </c>
      <c r="C11" s="2">
        <v>46301</v>
      </c>
      <c r="D11" s="1">
        <v>212</v>
      </c>
      <c r="E11" s="1" t="s">
        <v>45</v>
      </c>
      <c r="F11" s="1" t="s">
        <v>10</v>
      </c>
      <c r="G11" s="1" t="s">
        <v>52</v>
      </c>
      <c r="H11" s="3" t="s">
        <v>70</v>
      </c>
      <c r="I11" s="1" t="s">
        <v>39</v>
      </c>
      <c r="J11" s="1" t="s">
        <v>35</v>
      </c>
      <c r="K11" s="1">
        <v>141000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>
        <f t="shared" si="0"/>
        <v>141000</v>
      </c>
      <c r="X11" s="1"/>
      <c r="Y11" s="1"/>
      <c r="Z11" s="2">
        <v>46314</v>
      </c>
      <c r="AA11" s="1"/>
    </row>
    <row r="12" spans="1:32" x14ac:dyDescent="0.3">
      <c r="A12" s="1">
        <v>11</v>
      </c>
      <c r="B12" s="1" t="s">
        <v>11</v>
      </c>
      <c r="C12" s="2">
        <v>46303</v>
      </c>
      <c r="D12" s="1">
        <v>213</v>
      </c>
      <c r="E12" s="1" t="s">
        <v>15</v>
      </c>
      <c r="F12" s="1" t="s">
        <v>10</v>
      </c>
      <c r="G12" s="1" t="s">
        <v>53</v>
      </c>
      <c r="H12" s="3">
        <v>38216860303</v>
      </c>
      <c r="I12" s="1" t="s">
        <v>38</v>
      </c>
      <c r="J12" s="1" t="s">
        <v>34</v>
      </c>
      <c r="K12" s="1">
        <v>136500</v>
      </c>
      <c r="L12" s="2">
        <v>46312</v>
      </c>
      <c r="M12" s="1"/>
      <c r="N12" s="1"/>
      <c r="O12" s="1">
        <v>126000</v>
      </c>
      <c r="P12" s="2"/>
      <c r="Q12" s="1">
        <v>567</v>
      </c>
      <c r="R12" s="2"/>
      <c r="S12" s="1">
        <v>667</v>
      </c>
      <c r="T12" s="1"/>
      <c r="U12" s="1">
        <v>500</v>
      </c>
      <c r="V12" s="1"/>
      <c r="W12" s="1">
        <f t="shared" si="0"/>
        <v>8766</v>
      </c>
      <c r="X12" s="1">
        <v>266</v>
      </c>
      <c r="Y12" s="1">
        <f>W12-X12</f>
        <v>8500</v>
      </c>
      <c r="Z12" s="2">
        <v>46314</v>
      </c>
      <c r="AA12" s="1"/>
    </row>
    <row r="13" spans="1:32" x14ac:dyDescent="0.3">
      <c r="A13" s="1">
        <v>12</v>
      </c>
      <c r="B13" s="1" t="s">
        <v>22</v>
      </c>
      <c r="C13" s="2">
        <v>46304</v>
      </c>
      <c r="D13" s="1">
        <v>214</v>
      </c>
      <c r="E13" s="1" t="s">
        <v>54</v>
      </c>
      <c r="F13" s="1" t="s">
        <v>10</v>
      </c>
      <c r="G13" s="1" t="s">
        <v>55</v>
      </c>
      <c r="H13" s="3" t="s">
        <v>69</v>
      </c>
      <c r="I13" s="1" t="s">
        <v>43</v>
      </c>
      <c r="J13" s="1" t="s">
        <v>41</v>
      </c>
      <c r="K13" s="1">
        <v>154000</v>
      </c>
      <c r="L13" s="2">
        <v>46310</v>
      </c>
      <c r="M13" s="1"/>
      <c r="N13" s="1">
        <v>500</v>
      </c>
      <c r="O13" s="1">
        <v>143750</v>
      </c>
      <c r="P13" s="2"/>
      <c r="Q13" s="1"/>
      <c r="R13" s="2"/>
      <c r="S13" s="1"/>
      <c r="T13" s="1"/>
      <c r="U13" s="1">
        <v>300</v>
      </c>
      <c r="V13" s="1"/>
      <c r="W13" s="1">
        <f>IF(M13="F/TO-PAY",0,K13-(O13+Q13+S13+U13+T13))</f>
        <v>9950</v>
      </c>
      <c r="X13" s="1"/>
      <c r="Y13" s="1"/>
      <c r="Z13" s="1" t="s">
        <v>86</v>
      </c>
      <c r="AA13" s="1"/>
    </row>
    <row r="14" spans="1:32" x14ac:dyDescent="0.3">
      <c r="A14" s="1">
        <v>13</v>
      </c>
      <c r="B14" s="1" t="s">
        <v>22</v>
      </c>
      <c r="C14" s="2">
        <v>46305</v>
      </c>
      <c r="D14" s="1">
        <v>215</v>
      </c>
      <c r="E14" s="1" t="s">
        <v>56</v>
      </c>
      <c r="F14" s="1" t="s">
        <v>10</v>
      </c>
      <c r="G14" s="1" t="s">
        <v>57</v>
      </c>
      <c r="H14" s="3" t="s">
        <v>69</v>
      </c>
      <c r="I14" s="1" t="s">
        <v>43</v>
      </c>
      <c r="J14" s="1" t="s">
        <v>41</v>
      </c>
      <c r="K14" s="1">
        <v>157500</v>
      </c>
      <c r="L14" s="2">
        <v>46310</v>
      </c>
      <c r="M14" s="1"/>
      <c r="N14" s="1">
        <v>300</v>
      </c>
      <c r="O14" s="1">
        <v>147200</v>
      </c>
      <c r="P14" s="2"/>
      <c r="Q14" s="1"/>
      <c r="R14" s="2"/>
      <c r="S14" s="1"/>
      <c r="T14" s="1"/>
      <c r="U14" s="1">
        <v>300</v>
      </c>
      <c r="V14" s="1"/>
      <c r="W14" s="1">
        <f>IF(M14="F/TO-PAY",0,K14-(O14+Q14+S14+U14+T14))</f>
        <v>10000</v>
      </c>
      <c r="X14" s="1"/>
      <c r="Y14" s="1"/>
      <c r="Z14" s="1" t="s">
        <v>86</v>
      </c>
      <c r="AA14" s="1"/>
    </row>
    <row r="15" spans="1:32" x14ac:dyDescent="0.3">
      <c r="A15" s="1">
        <v>14</v>
      </c>
      <c r="B15" s="1" t="s">
        <v>22</v>
      </c>
      <c r="C15" s="2">
        <v>46308</v>
      </c>
      <c r="D15" s="1">
        <v>2106</v>
      </c>
      <c r="E15" s="1" t="s">
        <v>58</v>
      </c>
      <c r="F15" s="1" t="s">
        <v>10</v>
      </c>
      <c r="G15" s="1" t="s">
        <v>59</v>
      </c>
      <c r="H15" s="3" t="s">
        <v>69</v>
      </c>
      <c r="I15" s="1" t="s">
        <v>43</v>
      </c>
      <c r="J15" s="1" t="s">
        <v>41</v>
      </c>
      <c r="K15" s="1">
        <v>162750</v>
      </c>
      <c r="L15" s="2">
        <v>46312</v>
      </c>
      <c r="M15" s="1"/>
      <c r="N15" s="1">
        <v>300</v>
      </c>
      <c r="O15" s="1">
        <v>152450</v>
      </c>
      <c r="P15" s="2"/>
      <c r="Q15" s="1"/>
      <c r="R15" s="2"/>
      <c r="S15" s="1"/>
      <c r="T15" s="1"/>
      <c r="U15" s="1">
        <v>300</v>
      </c>
      <c r="V15" s="1"/>
      <c r="W15" s="1">
        <f>IF(M15="F/TO-PAY",0,K15-(O15+Q15+S15+U15+T15))</f>
        <v>10000</v>
      </c>
      <c r="X15" s="1"/>
      <c r="Y15" s="1"/>
      <c r="Z15" s="1" t="s">
        <v>86</v>
      </c>
      <c r="AA15" s="1"/>
    </row>
    <row r="16" spans="1:32" x14ac:dyDescent="0.3">
      <c r="A16" s="1">
        <v>15</v>
      </c>
      <c r="B16" s="1" t="s">
        <v>22</v>
      </c>
      <c r="C16" s="2">
        <v>46309</v>
      </c>
      <c r="D16" s="1" t="s">
        <v>61</v>
      </c>
      <c r="E16" s="1" t="s">
        <v>62</v>
      </c>
      <c r="F16" s="1" t="s">
        <v>10</v>
      </c>
      <c r="G16" s="1" t="s">
        <v>63</v>
      </c>
      <c r="H16" s="3" t="s">
        <v>69</v>
      </c>
      <c r="I16" s="1" t="s">
        <v>43</v>
      </c>
      <c r="J16" s="1" t="s">
        <v>41</v>
      </c>
      <c r="K16" s="1">
        <v>171500</v>
      </c>
      <c r="L16" s="2">
        <v>46312</v>
      </c>
      <c r="M16" s="1"/>
      <c r="N16" s="1">
        <v>300</v>
      </c>
      <c r="O16" s="1"/>
      <c r="P16" s="1"/>
      <c r="Q16" s="1"/>
      <c r="R16" s="1"/>
      <c r="S16" s="1"/>
      <c r="T16" s="1"/>
      <c r="U16" s="1"/>
      <c r="V16" s="1"/>
      <c r="W16" s="1">
        <f>IF(M16="F/TO-PAY",0,K16-(O16+Q16+S16+U16+T16))</f>
        <v>171500</v>
      </c>
      <c r="X16" s="1"/>
      <c r="Y16" s="1"/>
      <c r="Z16" s="1" t="s">
        <v>86</v>
      </c>
      <c r="AA16" s="1"/>
    </row>
    <row r="17" spans="1:27" x14ac:dyDescent="0.3">
      <c r="A17" s="1">
        <v>16</v>
      </c>
      <c r="B17" s="1" t="s">
        <v>11</v>
      </c>
      <c r="C17" s="2">
        <v>46312</v>
      </c>
      <c r="D17" s="1" t="s">
        <v>64</v>
      </c>
      <c r="E17" s="1" t="s">
        <v>65</v>
      </c>
      <c r="F17" s="1" t="s">
        <v>10</v>
      </c>
      <c r="G17" s="1" t="s">
        <v>66</v>
      </c>
      <c r="H17" s="3">
        <v>38216860303</v>
      </c>
      <c r="I17" s="1" t="s">
        <v>38</v>
      </c>
      <c r="J17" s="1" t="s">
        <v>34</v>
      </c>
      <c r="K17" s="1">
        <v>158000</v>
      </c>
      <c r="L17" s="2">
        <v>46313</v>
      </c>
      <c r="M17" s="1"/>
      <c r="N17" s="1"/>
      <c r="O17" s="1">
        <v>50000</v>
      </c>
      <c r="P17" s="1"/>
      <c r="Q17" s="1">
        <v>0</v>
      </c>
      <c r="R17" s="1"/>
      <c r="S17" s="1">
        <v>0</v>
      </c>
      <c r="T17" s="1">
        <v>108000</v>
      </c>
      <c r="U17" s="1"/>
      <c r="V17" s="1"/>
      <c r="W17" s="1">
        <f t="shared" si="0"/>
        <v>0</v>
      </c>
      <c r="X17" s="1"/>
      <c r="Y17" s="1"/>
      <c r="Z17" s="1" t="s">
        <v>86</v>
      </c>
      <c r="AA17" s="1"/>
    </row>
    <row r="18" spans="1:27" x14ac:dyDescent="0.3">
      <c r="A18" s="1">
        <v>17</v>
      </c>
      <c r="B18" s="1" t="s">
        <v>22</v>
      </c>
      <c r="C18" s="2">
        <v>46313</v>
      </c>
      <c r="D18" s="1">
        <v>219</v>
      </c>
      <c r="E18" s="1" t="s">
        <v>67</v>
      </c>
      <c r="F18" s="1" t="s">
        <v>10</v>
      </c>
      <c r="G18" s="1" t="s">
        <v>17</v>
      </c>
      <c r="H18" s="3" t="s">
        <v>69</v>
      </c>
      <c r="I18" s="1" t="s">
        <v>43</v>
      </c>
      <c r="J18" s="1" t="s">
        <v>60</v>
      </c>
      <c r="K18" s="1">
        <v>200000</v>
      </c>
      <c r="L18" s="2">
        <v>46314</v>
      </c>
      <c r="M18" s="1" t="s">
        <v>85</v>
      </c>
      <c r="N18" s="1"/>
      <c r="O18" s="1"/>
      <c r="P18" s="1"/>
      <c r="Q18" s="1"/>
      <c r="R18" s="1"/>
      <c r="S18" s="1"/>
      <c r="T18" s="1"/>
      <c r="U18" s="1"/>
      <c r="V18" s="1"/>
      <c r="W18" s="1">
        <f>IF(M18="F/TO-PAY",0,K18-(O18+Q18+S18+U18+T18))</f>
        <v>200000</v>
      </c>
      <c r="X18" s="1"/>
      <c r="Y18" s="1"/>
      <c r="Z18" s="1" t="s">
        <v>86</v>
      </c>
      <c r="AA18" s="1"/>
    </row>
    <row r="19" spans="1:27" x14ac:dyDescent="0.3">
      <c r="A19" s="1">
        <v>18</v>
      </c>
      <c r="B19" s="1" t="s">
        <v>22</v>
      </c>
      <c r="C19" s="2">
        <v>46308</v>
      </c>
      <c r="D19" s="1">
        <v>2106</v>
      </c>
      <c r="E19" s="1" t="s">
        <v>58</v>
      </c>
      <c r="F19" s="1" t="s">
        <v>10</v>
      </c>
      <c r="G19" s="1" t="s">
        <v>59</v>
      </c>
      <c r="H19" s="3" t="s">
        <v>69</v>
      </c>
      <c r="I19" s="1" t="s">
        <v>43</v>
      </c>
      <c r="J19" s="1" t="s">
        <v>41</v>
      </c>
      <c r="K19" s="1">
        <v>50000</v>
      </c>
      <c r="L19" s="2">
        <v>46315</v>
      </c>
      <c r="M19" s="1" t="s">
        <v>85</v>
      </c>
      <c r="N19" s="1">
        <v>200</v>
      </c>
      <c r="O19" s="1">
        <v>19800</v>
      </c>
      <c r="P19" s="1"/>
      <c r="Q19" s="1">
        <v>0</v>
      </c>
      <c r="R19" s="1"/>
      <c r="S19" s="1">
        <v>0</v>
      </c>
      <c r="T19" s="1">
        <f>IF(M19="A/TO-PAY",K19-N19-O19-Q19-S19,0)</f>
        <v>30000</v>
      </c>
      <c r="U19" s="1">
        <v>0</v>
      </c>
      <c r="V19" s="1"/>
      <c r="W19" s="1">
        <f>T19</f>
        <v>30000</v>
      </c>
      <c r="X19" s="1"/>
      <c r="Y19" s="1"/>
      <c r="Z19" s="1" t="s">
        <v>86</v>
      </c>
      <c r="AA19" s="1"/>
    </row>
    <row r="20" spans="1:27" x14ac:dyDescent="0.3">
      <c r="A20" s="1">
        <v>19</v>
      </c>
      <c r="B20" s="1" t="s">
        <v>22</v>
      </c>
      <c r="C20" s="2">
        <v>46308</v>
      </c>
      <c r="D20" s="1">
        <v>2106</v>
      </c>
      <c r="E20" s="1" t="s">
        <v>58</v>
      </c>
      <c r="F20" s="1" t="s">
        <v>10</v>
      </c>
      <c r="G20" s="1" t="s">
        <v>59</v>
      </c>
      <c r="H20" s="3" t="s">
        <v>69</v>
      </c>
      <c r="I20" s="1" t="s">
        <v>43</v>
      </c>
      <c r="J20" s="1" t="s">
        <v>41</v>
      </c>
      <c r="K20" s="1">
        <v>60000</v>
      </c>
      <c r="L20" s="2">
        <v>46316</v>
      </c>
      <c r="M20" s="1" t="s">
        <v>85</v>
      </c>
      <c r="N20" s="1">
        <v>300</v>
      </c>
      <c r="O20" s="1">
        <v>29700</v>
      </c>
      <c r="P20" s="1"/>
      <c r="Q20" s="1"/>
      <c r="R20" s="1"/>
      <c r="S20" s="1"/>
      <c r="T20" s="1">
        <f>IF(M20="A/TO-PAY",K20-N20-O20-Q20-S20,0)</f>
        <v>30000</v>
      </c>
      <c r="U20" s="1"/>
      <c r="V20" s="1"/>
      <c r="W20" s="1">
        <f>W2</f>
        <v>0</v>
      </c>
      <c r="X20" s="1"/>
      <c r="Y20" s="1"/>
      <c r="Z20" s="1" t="s">
        <v>86</v>
      </c>
      <c r="AA20" s="1"/>
    </row>
    <row r="21" spans="1:27" x14ac:dyDescent="0.3">
      <c r="C21" s="9"/>
      <c r="H21" s="10"/>
    </row>
    <row r="23" spans="1:27" ht="21" x14ac:dyDescent="0.3">
      <c r="O23" s="6" t="s">
        <v>82</v>
      </c>
      <c r="P23" s="5" t="s">
        <v>88</v>
      </c>
    </row>
    <row r="24" spans="1:27" x14ac:dyDescent="0.3">
      <c r="M24" s="8" t="s">
        <v>87</v>
      </c>
      <c r="O24" s="1" t="s">
        <v>84</v>
      </c>
      <c r="P24" s="8" t="s">
        <v>89</v>
      </c>
    </row>
    <row r="25" spans="1:27" x14ac:dyDescent="0.3">
      <c r="O25" s="1" t="s">
        <v>85</v>
      </c>
      <c r="P25" s="8" t="s">
        <v>90</v>
      </c>
    </row>
  </sheetData>
  <conditionalFormatting sqref="B1:T2">
    <cfRule type="containsText" dxfId="5" priority="6" operator="containsText" text="SL NO">
      <formula>NOT(ISERROR(SEARCH("SL NO",B1)))</formula>
    </cfRule>
  </conditionalFormatting>
  <conditionalFormatting sqref="H5">
    <cfRule type="containsText" dxfId="4" priority="11" operator="containsText" text="SL NO">
      <formula>NOT(ISERROR(SEARCH("SL NO",H5)))</formula>
    </cfRule>
  </conditionalFormatting>
  <conditionalFormatting sqref="H13:H16">
    <cfRule type="containsText" dxfId="3" priority="10" operator="containsText" text="SL NO">
      <formula>NOT(ISERROR(SEARCH("SL NO",H13)))</formula>
    </cfRule>
  </conditionalFormatting>
  <conditionalFormatting sqref="H18:H21">
    <cfRule type="containsText" dxfId="2" priority="3" operator="containsText" text="SL NO">
      <formula>NOT(ISERROR(SEARCH("SL NO",H18)))</formula>
    </cfRule>
  </conditionalFormatting>
  <conditionalFormatting sqref="O23:P23">
    <cfRule type="containsText" dxfId="1" priority="1" operator="containsText" text="SL NO">
      <formula>NOT(ISERROR(SEARCH("SL NO",O23)))</formula>
    </cfRule>
  </conditionalFormatting>
  <conditionalFormatting sqref="U1:AA1 A1:A7 U2:V2 X2:AA2 B3:B7 AF7 A9:B14 A19:A21">
    <cfRule type="containsText" dxfId="0" priority="12" operator="containsText" text="SL NO">
      <formula>NOT(ISERROR(SEARCH("SL NO",A1)))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Sarika Rudra</dc:creator>
  <cp:lastModifiedBy>Shravan kumar Nunsavath</cp:lastModifiedBy>
  <cp:lastPrinted>2026-10-20T12:47:25Z</cp:lastPrinted>
  <dcterms:created xsi:type="dcterms:W3CDTF">2026-10-18T13:47:20Z</dcterms:created>
  <dcterms:modified xsi:type="dcterms:W3CDTF">2026-10-24T16:33:40Z</dcterms:modified>
</cp:coreProperties>
</file>