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6FE41E5-485A-4F28-B155-EE945A5D6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ker Ledger" sheetId="1" r:id="rId1"/>
  </sheets>
  <calcPr calcId="191029"/>
</workbook>
</file>

<file path=xl/calcChain.xml><?xml version="1.0" encoding="utf-8"?>
<calcChain xmlns="http://schemas.openxmlformats.org/spreadsheetml/2006/main">
  <c r="U12" i="1" l="1"/>
  <c r="U8" i="1"/>
  <c r="V3" i="1"/>
  <c r="V2" i="1"/>
  <c r="Z2" i="1"/>
  <c r="Z3" i="1"/>
  <c r="Z8" i="1"/>
  <c r="Z12" i="1"/>
  <c r="AA3" i="1"/>
  <c r="AA2" i="1" l="1"/>
</calcChain>
</file>

<file path=xl/sharedStrings.xml><?xml version="1.0" encoding="utf-8"?>
<sst xmlns="http://schemas.openxmlformats.org/spreadsheetml/2006/main" count="150" uniqueCount="74">
  <si>
    <t>SL NO</t>
  </si>
  <si>
    <t>TRSP NAME</t>
  </si>
  <si>
    <t>DATE</t>
  </si>
  <si>
    <t>LR NO</t>
  </si>
  <si>
    <t>TRUCK NO</t>
  </si>
  <si>
    <t>FROM</t>
  </si>
  <si>
    <t>TO</t>
  </si>
  <si>
    <t>ACCOUNT NO</t>
  </si>
  <si>
    <t>IFSC CODE</t>
  </si>
  <si>
    <t>PAYMENT MADE</t>
  </si>
  <si>
    <t>FRIGHT</t>
  </si>
  <si>
    <t>ToPayStatus</t>
  </si>
  <si>
    <t>T/M</t>
  </si>
  <si>
    <t>ADVANCE</t>
  </si>
  <si>
    <t>DATE 2</t>
  </si>
  <si>
    <t>ADVANCE2</t>
  </si>
  <si>
    <t>DATE3</t>
  </si>
  <si>
    <t>ADVANCE3</t>
  </si>
  <si>
    <t>P/M</t>
  </si>
  <si>
    <t>REMARKS / NOTE</t>
  </si>
  <si>
    <t>1</t>
  </si>
  <si>
    <t>ANTP SAINATH</t>
  </si>
  <si>
    <t>20-08-2026</t>
  </si>
  <si>
    <t>207</t>
  </si>
  <si>
    <t>AP39UD3564</t>
  </si>
  <si>
    <t>LUCKNOW</t>
  </si>
  <si>
    <t>MEDCHAL</t>
  </si>
  <si>
    <t>38216860303</t>
  </si>
  <si>
    <t>SBIN0010659</t>
  </si>
  <si>
    <t>SBI BANK</t>
  </si>
  <si>
    <t>02-09-2026</t>
  </si>
  <si>
    <t>TOBILLED</t>
  </si>
  <si>
    <t/>
  </si>
  <si>
    <t>2</t>
  </si>
  <si>
    <t>SARITHA TRSP</t>
  </si>
  <si>
    <t>03-09-2026</t>
  </si>
  <si>
    <t>208</t>
  </si>
  <si>
    <t>TG15T6666</t>
  </si>
  <si>
    <t>RAIPUR</t>
  </si>
  <si>
    <t>0312035592</t>
  </si>
  <si>
    <t>KKBK0008406</t>
  </si>
  <si>
    <t>KKBK BANK</t>
  </si>
  <si>
    <t>15-10-2026</t>
  </si>
  <si>
    <t>07-09-2026</t>
  </si>
  <si>
    <t>CG RANCHI R/WAYS</t>
  </si>
  <si>
    <t>29-09-2026</t>
  </si>
  <si>
    <t>195</t>
  </si>
  <si>
    <t>CG08AZ4714</t>
  </si>
  <si>
    <t>PANKANJUR</t>
  </si>
  <si>
    <t>29122900001083</t>
  </si>
  <si>
    <t>DCBL0000291</t>
  </si>
  <si>
    <t>DCB BANK</t>
  </si>
  <si>
    <t>01-10-2026</t>
  </si>
  <si>
    <t>F/TO-PAY</t>
  </si>
  <si>
    <t>F/TO-PAY Shipment</t>
  </si>
  <si>
    <t>196</t>
  </si>
  <si>
    <t>MADHAPURA</t>
  </si>
  <si>
    <t>19-10-2026</t>
  </si>
  <si>
    <t>17-10-2026</t>
  </si>
  <si>
    <t>A/TO-PAY</t>
  </si>
  <si>
    <t>na</t>
  </si>
  <si>
    <t>POD Amount Status</t>
  </si>
  <si>
    <t>Pending Amount</t>
  </si>
  <si>
    <t>POD RECD Date</t>
  </si>
  <si>
    <t>Pending</t>
  </si>
  <si>
    <t>PM/PA Date</t>
  </si>
  <si>
    <t>Extra Amount</t>
  </si>
  <si>
    <t>Halted</t>
  </si>
  <si>
    <t>Pending Amount: Tobilled</t>
  </si>
  <si>
    <t>Cash on Delivery (COD) :A/Topay&amp;Ftopay</t>
  </si>
  <si>
    <t>if Tobilled NA</t>
  </si>
  <si>
    <t>if A/Topay&amp;Ftopay Na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</si>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</sst>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7E22CE"/>
      <name val="Calibri"/>
    </font>
    <font>
      <b/>
      <sz val="10"/>
      <name val="Calibri"/>
    </font>
    <font>
      <b/>
      <sz val="10"/>
      <color rgb="FFDC2626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topLeftCell="J1" zoomScale="95" zoomScaleNormal="114" workbookViewId="0">
      <selection activeCell="V14" sqref="V14"/>
    </sheetView>
  </sheetViews>
  <sheetFormatPr defaultRowHeight="14.4" x14ac:dyDescent="0.3"/>
  <cols>
    <col min="1" max="1" width="5.6640625" bestFit="1" customWidth="1"/>
    <col min="2" max="2" width="16.5546875" bestFit="1" customWidth="1"/>
    <col min="3" max="3" width="10.109375" bestFit="1" customWidth="1"/>
    <col min="4" max="4" width="5.88671875" bestFit="1" customWidth="1"/>
    <col min="5" max="5" width="11.44140625" bestFit="1" customWidth="1"/>
    <col min="6" max="6" width="9.109375" bestFit="1" customWidth="1"/>
    <col min="7" max="7" width="11.5546875" bestFit="1" customWidth="1"/>
    <col min="8" max="8" width="15.109375" bestFit="1" customWidth="1"/>
    <col min="9" max="9" width="12" bestFit="1" customWidth="1"/>
    <col min="10" max="10" width="14.21875" bestFit="1" customWidth="1"/>
    <col min="11" max="11" width="6.88671875" bestFit="1" customWidth="1"/>
    <col min="12" max="12" width="10.109375" bestFit="1" customWidth="1"/>
    <col min="13" max="13" width="10.77734375" bestFit="1" customWidth="1"/>
    <col min="14" max="14" width="4.33203125" bestFit="1" customWidth="1"/>
    <col min="15" max="15" width="8.6640625" bestFit="1" customWidth="1"/>
    <col min="16" max="16" width="6.5546875" bestFit="1" customWidth="1"/>
    <col min="17" max="17" width="9.6640625" bestFit="1" customWidth="1"/>
    <col min="18" max="18" width="6.109375" bestFit="1" customWidth="1"/>
    <col min="19" max="19" width="9.6640625" bestFit="1" customWidth="1"/>
    <col min="20" max="20" width="13.5546875" bestFit="1" customWidth="1"/>
    <col min="21" max="21" width="34.21875" bestFit="1" customWidth="1"/>
    <col min="22" max="22" width="22" bestFit="1" customWidth="1"/>
    <col min="23" max="23" width="11.88671875" bestFit="1" customWidth="1"/>
    <col min="24" max="24" width="10.77734375" bestFit="1" customWidth="1"/>
    <col min="25" max="25" width="4.44140625" bestFit="1" customWidth="1"/>
    <col min="26" max="26" width="14.44140625" bestFit="1" customWidth="1"/>
    <col min="27" max="27" width="17" bestFit="1" customWidth="1"/>
    <col min="28" max="28" width="16.33203125" bestFit="1" customWidth="1"/>
  </cols>
  <sheetData>
    <row r="1" spans="1:2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2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63</v>
      </c>
      <c r="U1" s="4" t="s">
        <v>69</v>
      </c>
      <c r="V1" s="5" t="s">
        <v>68</v>
      </c>
      <c r="W1" s="5" t="s">
        <v>66</v>
      </c>
      <c r="X1" s="5" t="s">
        <v>65</v>
      </c>
      <c r="Y1" s="1" t="s">
        <v>18</v>
      </c>
      <c r="Z1" s="4" t="s">
        <v>62</v>
      </c>
      <c r="AA1" s="1" t="s">
        <v>61</v>
      </c>
      <c r="AB1" s="1" t="s">
        <v>19</v>
      </c>
    </row>
    <row r="2" spans="1:28" ht="19.95" customHeight="1" x14ac:dyDescent="0.3">
      <c r="A2" s="6" t="s">
        <v>20</v>
      </c>
      <c r="B2" s="7" t="s">
        <v>21</v>
      </c>
      <c r="C2" s="6" t="s">
        <v>22</v>
      </c>
      <c r="D2" s="6" t="s">
        <v>23</v>
      </c>
      <c r="E2" s="6" t="s">
        <v>24</v>
      </c>
      <c r="F2" s="7" t="s">
        <v>25</v>
      </c>
      <c r="G2" s="7" t="s">
        <v>26</v>
      </c>
      <c r="H2" s="6" t="s">
        <v>27</v>
      </c>
      <c r="I2" s="6" t="s">
        <v>28</v>
      </c>
      <c r="J2" s="7" t="s">
        <v>29</v>
      </c>
      <c r="K2" s="8">
        <v>60000</v>
      </c>
      <c r="L2" s="6" t="s">
        <v>30</v>
      </c>
      <c r="M2" s="9" t="s">
        <v>31</v>
      </c>
      <c r="N2" s="8">
        <v>300</v>
      </c>
      <c r="O2" s="10">
        <v>49700</v>
      </c>
      <c r="P2" s="6" t="s">
        <v>60</v>
      </c>
      <c r="Q2" s="8">
        <v>0</v>
      </c>
      <c r="R2" s="6" t="s">
        <v>60</v>
      </c>
      <c r="S2" s="8">
        <v>0</v>
      </c>
      <c r="T2" s="11">
        <v>46254</v>
      </c>
      <c r="U2" s="11" t="s">
        <v>70</v>
      </c>
      <c r="V2" s="12">
        <f>K2-N2-O2-Q2-S2</f>
        <v>10000</v>
      </c>
      <c r="W2" s="12">
        <v>0</v>
      </c>
      <c r="X2" s="11">
        <v>46262</v>
      </c>
      <c r="Y2" s="8">
        <v>200</v>
      </c>
      <c r="Z2" s="12">
        <f>V2+W2-Y2</f>
        <v>9800</v>
      </c>
      <c r="AA2" s="13">
        <f>IF(M2="TOBILLED",V2+W2-Y2-Z2)</f>
        <v>0</v>
      </c>
      <c r="AB2" s="7"/>
    </row>
    <row r="3" spans="1:28" ht="19.95" customHeight="1" x14ac:dyDescent="0.3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7" t="s">
        <v>38</v>
      </c>
      <c r="G3" s="7" t="s">
        <v>26</v>
      </c>
      <c r="H3" s="6" t="s">
        <v>39</v>
      </c>
      <c r="I3" s="6" t="s">
        <v>40</v>
      </c>
      <c r="J3" s="7" t="s">
        <v>41</v>
      </c>
      <c r="K3" s="8">
        <v>60000</v>
      </c>
      <c r="L3" s="6" t="s">
        <v>42</v>
      </c>
      <c r="M3" s="9" t="s">
        <v>31</v>
      </c>
      <c r="N3" s="8">
        <v>300</v>
      </c>
      <c r="O3" s="10">
        <v>49700</v>
      </c>
      <c r="P3" s="6" t="s">
        <v>60</v>
      </c>
      <c r="Q3" s="8">
        <v>0</v>
      </c>
      <c r="R3" s="6" t="s">
        <v>60</v>
      </c>
      <c r="S3" s="8">
        <v>0</v>
      </c>
      <c r="T3" s="14" t="s">
        <v>43</v>
      </c>
      <c r="U3" s="11" t="s">
        <v>70</v>
      </c>
      <c r="V3" s="12">
        <f>K3-N3-O3-Q3-S3</f>
        <v>10000</v>
      </c>
      <c r="W3" s="12">
        <v>5000</v>
      </c>
      <c r="X3" s="11">
        <v>46263</v>
      </c>
      <c r="Y3" s="8">
        <v>300</v>
      </c>
      <c r="Z3" s="12">
        <f>V3+W3-Y3</f>
        <v>14700</v>
      </c>
      <c r="AA3" s="13">
        <f>IF(M3="TOBILLED",V3+W3-Y3-Z3)</f>
        <v>0</v>
      </c>
      <c r="AB3" s="7" t="s">
        <v>67</v>
      </c>
    </row>
    <row r="7" spans="1:28" ht="25.95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2</v>
      </c>
      <c r="M7" s="2" t="s">
        <v>11</v>
      </c>
      <c r="N7" s="1" t="s">
        <v>12</v>
      </c>
      <c r="O7" s="3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4" t="s">
        <v>63</v>
      </c>
      <c r="U7" s="4" t="s">
        <v>69</v>
      </c>
      <c r="V7" s="5" t="s">
        <v>68</v>
      </c>
      <c r="W7" s="5" t="s">
        <v>66</v>
      </c>
      <c r="X7" s="5" t="s">
        <v>65</v>
      </c>
      <c r="Y7" s="1" t="s">
        <v>18</v>
      </c>
      <c r="Z7" s="4" t="s">
        <v>62</v>
      </c>
      <c r="AA7" s="1" t="s">
        <v>61</v>
      </c>
      <c r="AB7" s="1" t="s">
        <v>19</v>
      </c>
    </row>
    <row r="8" spans="1:28" ht="19.95" customHeight="1" x14ac:dyDescent="0.3">
      <c r="A8" s="6" t="s">
        <v>73</v>
      </c>
      <c r="B8" s="7" t="s">
        <v>34</v>
      </c>
      <c r="C8" s="6" t="s">
        <v>52</v>
      </c>
      <c r="D8" s="6" t="s">
        <v>55</v>
      </c>
      <c r="E8" s="6" t="s">
        <v>37</v>
      </c>
      <c r="F8" s="7" t="s">
        <v>26</v>
      </c>
      <c r="G8" s="7" t="s">
        <v>56</v>
      </c>
      <c r="H8" s="6" t="s">
        <v>39</v>
      </c>
      <c r="I8" s="6" t="s">
        <v>40</v>
      </c>
      <c r="J8" s="7" t="s">
        <v>41</v>
      </c>
      <c r="K8" s="8">
        <v>90000</v>
      </c>
      <c r="L8" s="6" t="s">
        <v>58</v>
      </c>
      <c r="M8" s="9" t="s">
        <v>59</v>
      </c>
      <c r="N8" s="8">
        <v>200</v>
      </c>
      <c r="O8" s="8">
        <v>49800</v>
      </c>
      <c r="P8" s="6" t="s">
        <v>60</v>
      </c>
      <c r="Q8" s="8">
        <v>0</v>
      </c>
      <c r="R8" s="6" t="s">
        <v>60</v>
      </c>
      <c r="S8" s="8">
        <v>0</v>
      </c>
      <c r="T8" s="14" t="s">
        <v>57</v>
      </c>
      <c r="U8" s="17">
        <f>K8-N8-O8-Q8-S8</f>
        <v>40000</v>
      </c>
      <c r="V8" s="12" t="s">
        <v>71</v>
      </c>
      <c r="W8" s="12">
        <v>0</v>
      </c>
      <c r="X8" s="11">
        <v>46265</v>
      </c>
      <c r="Y8" s="8">
        <v>0</v>
      </c>
      <c r="Z8" s="12">
        <f>K8-N8-O8-U8</f>
        <v>0</v>
      </c>
      <c r="AA8" s="6">
        <v>0</v>
      </c>
      <c r="AB8" s="7" t="s">
        <v>32</v>
      </c>
    </row>
    <row r="11" spans="1:28" ht="25.95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2</v>
      </c>
      <c r="M11" s="2" t="s">
        <v>11</v>
      </c>
      <c r="N11" s="1" t="s">
        <v>12</v>
      </c>
      <c r="O11" s="3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4" t="s">
        <v>63</v>
      </c>
      <c r="U11" s="4" t="s">
        <v>69</v>
      </c>
      <c r="V11" s="5" t="s">
        <v>68</v>
      </c>
      <c r="W11" s="5" t="s">
        <v>66</v>
      </c>
      <c r="X11" s="5" t="s">
        <v>65</v>
      </c>
      <c r="Y11" s="1" t="s">
        <v>18</v>
      </c>
      <c r="Z11" s="4" t="s">
        <v>62</v>
      </c>
      <c r="AA11" s="1" t="s">
        <v>61</v>
      </c>
      <c r="AB11" s="1" t="s">
        <v>19</v>
      </c>
    </row>
    <row r="12" spans="1:28" ht="19.95" customHeight="1" x14ac:dyDescent="0.3">
      <c r="A12" s="6" t="s">
        <v>72</v>
      </c>
      <c r="B12" s="7" t="s">
        <v>44</v>
      </c>
      <c r="C12" s="6" t="s">
        <v>45</v>
      </c>
      <c r="D12" s="6" t="s">
        <v>46</v>
      </c>
      <c r="E12" s="6" t="s">
        <v>47</v>
      </c>
      <c r="F12" s="7" t="s">
        <v>26</v>
      </c>
      <c r="G12" s="7" t="s">
        <v>48</v>
      </c>
      <c r="H12" s="6" t="s">
        <v>49</v>
      </c>
      <c r="I12" s="6" t="s">
        <v>50</v>
      </c>
      <c r="J12" s="7" t="s">
        <v>51</v>
      </c>
      <c r="K12" s="8">
        <v>42000</v>
      </c>
      <c r="L12" s="6" t="s">
        <v>52</v>
      </c>
      <c r="M12" s="9" t="s">
        <v>53</v>
      </c>
      <c r="N12" s="8">
        <v>0</v>
      </c>
      <c r="O12" s="8">
        <v>0</v>
      </c>
      <c r="P12" s="6" t="s">
        <v>60</v>
      </c>
      <c r="Q12" s="8">
        <v>0</v>
      </c>
      <c r="R12" s="6" t="s">
        <v>60</v>
      </c>
      <c r="S12" s="8">
        <v>0</v>
      </c>
      <c r="T12" s="15" t="s">
        <v>64</v>
      </c>
      <c r="U12" s="16">
        <f>K12-N12-O12-Q12-S12</f>
        <v>42000</v>
      </c>
      <c r="V12" s="12" t="s">
        <v>71</v>
      </c>
      <c r="W12" s="12">
        <v>0</v>
      </c>
      <c r="X12" s="11">
        <v>46264</v>
      </c>
      <c r="Y12" s="8">
        <v>0</v>
      </c>
      <c r="Z12" s="12">
        <f>K12-N12-O12-U12</f>
        <v>0</v>
      </c>
      <c r="AA12" s="6">
        <v>0</v>
      </c>
      <c r="AB12" s="7" t="s">
        <v>54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2026-10-25T08:04:04Z</dcterms:created>
  <dcterms:modified xsi:type="dcterms:W3CDTF">2026-10-25T16:48:55Z</dcterms:modified>
  <cp:category/>
</cp:coreProperties>
</file>